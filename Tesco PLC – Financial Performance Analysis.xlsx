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hidePivotFieldList="1" defaultThemeVersion="202300"/>
  <mc:AlternateContent xmlns:mc="http://schemas.openxmlformats.org/markup-compatibility/2006">
    <mc:Choice Requires="x15">
      <x15ac:absPath xmlns:x15ac="http://schemas.microsoft.com/office/spreadsheetml/2010/11/ac" url="C:\Users\up2306901\Downloads\"/>
    </mc:Choice>
  </mc:AlternateContent>
  <xr:revisionPtr revIDLastSave="0" documentId="13_ncr:1_{4952E7D1-1889-4C59-BCAA-E743ADB9E824}" xr6:coauthVersionLast="47" xr6:coauthVersionMax="47" xr10:uidLastSave="{00000000-0000-0000-0000-000000000000}"/>
  <bookViews>
    <workbookView xWindow="-110" yWindow="-110" windowWidth="38620" windowHeight="21100" activeTab="1" xr2:uid="{1455D229-9CA7-483E-9A74-382812DC306D}"/>
  </bookViews>
  <sheets>
    <sheet name="Overview " sheetId="1" r:id="rId1"/>
    <sheet name="Performance 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 i="2" l="1"/>
  <c r="B54" i="2"/>
  <c r="C54" i="2"/>
  <c r="B56" i="2"/>
  <c r="C5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1B2EBA-2FA0-4439-8E04-5351EED5ABB4}" keepAlive="1" name="Query - Table392 (Page 137)" description="Connection to the 'Table392 (Page 137)' query in the workbook." type="5" refreshedVersion="0" background="1">
    <dbPr connection="Provider=Microsoft.Mashup.OleDb.1;Data Source=$Workbook$;Location=&quot;Table392 (Page 137)&quot;;Extended Properties=&quot;&quot;" command="SELECT * FROM [Table392 (Page 137)]"/>
  </connection>
</connections>
</file>

<file path=xl/sharedStrings.xml><?xml version="1.0" encoding="utf-8"?>
<sst xmlns="http://schemas.openxmlformats.org/spreadsheetml/2006/main" count="216" uniqueCount="153">
  <si>
    <t>Column2</t>
  </si>
  <si>
    <t>52 weeks ended</t>
  </si>
  <si>
    <t>22 February 2025</t>
  </si>
  <si>
    <t>24 February 2024</t>
  </si>
  <si>
    <t>Before adjusting
items</t>
  </si>
  <si>
    <t>Adjusting items
(Note 5)</t>
  </si>
  <si>
    <t>Total</t>
  </si>
  <si>
    <t>Notes</t>
  </si>
  <si>
    <t>£m</t>
  </si>
  <si>
    <t>Continuing operations</t>
  </si>
  <si>
    <t>Revenue from sale of goods and services</t>
  </si>
  <si>
    <t>69,191</t>
  </si>
  <si>
    <t>-</t>
  </si>
  <si>
    <t>67,673</t>
  </si>
  <si>
    <t>Insurance revenue</t>
  </si>
  <si>
    <t>24</t>
  </si>
  <si>
    <t>725</t>
  </si>
  <si>
    <t>514</t>
  </si>
  <si>
    <t>Revenue</t>
  </si>
  <si>
    <t>2, 3</t>
  </si>
  <si>
    <t>69,916</t>
  </si>
  <si>
    <t>68,187</t>
  </si>
  <si>
    <t>Cost of sales</t>
  </si>
  <si>
    <t>(63,886)</t>
  </si>
  <si>
    <t>(319)</t>
  </si>
  <si>
    <t>(64,205)</t>
  </si>
  <si>
    <t>(62,832)</t>
  </si>
  <si>
    <t>(4)</t>
  </si>
  <si>
    <t>(62,836)</t>
  </si>
  <si>
    <t>Insurance service expenses</t>
  </si>
  <si>
    <t>(598)</t>
  </si>
  <si>
    <t>(454)</t>
  </si>
  <si>
    <t>Net expenses from reinsurance contracts held</t>
  </si>
  <si>
    <t>(62)</t>
  </si>
  <si>
    <t>(48)</t>
  </si>
  <si>
    <t>Gross profit/(loss)</t>
  </si>
  <si>
    <t>5,370</t>
  </si>
  <si>
    <t>5,051</t>
  </si>
  <si>
    <t>4,853</t>
  </si>
  <si>
    <t>4,849</t>
  </si>
  <si>
    <t>Administrative expenses</t>
  </si>
  <si>
    <t>(2,242)</t>
  </si>
  <si>
    <t>(98)</t>
  </si>
  <si>
    <t>(2,340)</t>
  </si>
  <si>
    <t>(2,024)</t>
  </si>
  <si>
    <t>(2,028)</t>
  </si>
  <si>
    <t>Operating profit/(loss)</t>
  </si>
  <si>
    <t>2</t>
  </si>
  <si>
    <t>3,128</t>
  </si>
  <si>
    <t>(417)</t>
  </si>
  <si>
    <t>2,711</t>
  </si>
  <si>
    <t>2,829</t>
  </si>
  <si>
    <t>(8)</t>
  </si>
  <si>
    <t>2,821</t>
  </si>
  <si>
    <t>Share of post-tax profit/(loss) of joint ventures and associates</t>
  </si>
  <si>
    <t>14</t>
  </si>
  <si>
    <t>6</t>
  </si>
  <si>
    <t>Finance income</t>
  </si>
  <si>
    <t>254</t>
  </si>
  <si>
    <t>267</t>
  </si>
  <si>
    <t>Finance costs</t>
  </si>
  <si>
    <t>(790)</t>
  </si>
  <si>
    <t>44</t>
  </si>
  <si>
    <t>(746)</t>
  </si>
  <si>
    <t>(825)</t>
  </si>
  <si>
    <t>20</t>
  </si>
  <si>
    <t>(805)</t>
  </si>
  <si>
    <t>Profit/(loss) before tax from continuing operations</t>
  </si>
  <si>
    <t>2,588</t>
  </si>
  <si>
    <t>(373)</t>
  </si>
  <si>
    <t>2,215</t>
  </si>
  <si>
    <t>2,277</t>
  </si>
  <si>
    <t>12</t>
  </si>
  <si>
    <t>2,289</t>
  </si>
  <si>
    <t>Taxation</t>
  </si>
  <si>
    <t>7</t>
  </si>
  <si>
    <t>(690)</t>
  </si>
  <si>
    <t>79</t>
  </si>
  <si>
    <t>(611)</t>
  </si>
  <si>
    <t>(593)</t>
  </si>
  <si>
    <t>68</t>
  </si>
  <si>
    <t>(525)</t>
  </si>
  <si>
    <t>Profit/(loss) for the year from continuing operations</t>
  </si>
  <si>
    <t>1,898</t>
  </si>
  <si>
    <t>(294)</t>
  </si>
  <si>
    <t>1,604</t>
  </si>
  <si>
    <t>1,684</t>
  </si>
  <si>
    <t>80</t>
  </si>
  <si>
    <t>1,764</t>
  </si>
  <si>
    <t>Discontinued operations</t>
  </si>
  <si>
    <t>Profit/(loss) for the year from discontinued operations</t>
  </si>
  <si>
    <t>8</t>
  </si>
  <si>
    <t>91</t>
  </si>
  <si>
    <t>(65)</t>
  </si>
  <si>
    <t>26</t>
  </si>
  <si>
    <t>56</t>
  </si>
  <si>
    <t>(628)</t>
  </si>
  <si>
    <t>(572)</t>
  </si>
  <si>
    <t>Profit/(loss) for the year</t>
  </si>
  <si>
    <t>1,989</t>
  </si>
  <si>
    <t>(359)</t>
  </si>
  <si>
    <t>1,630</t>
  </si>
  <si>
    <t>1,740</t>
  </si>
  <si>
    <t>(548)</t>
  </si>
  <si>
    <t>1,192</t>
  </si>
  <si>
    <t>Attributable to:</t>
  </si>
  <si>
    <t>Owners of the parent</t>
  </si>
  <si>
    <t>1,985</t>
  </si>
  <si>
    <t>1,626</t>
  </si>
  <si>
    <t>1,736</t>
  </si>
  <si>
    <t>1,188</t>
  </si>
  <si>
    <t>Non-controlling interests</t>
  </si>
  <si>
    <t>4</t>
  </si>
  <si>
    <t>Earnings per share from continuing and discontinued operations</t>
  </si>
  <si>
    <t>Basic</t>
  </si>
  <si>
    <t>10</t>
  </si>
  <si>
    <t>23.79p</t>
  </si>
  <si>
    <t>16.74p</t>
  </si>
  <si>
    <t>Diluted</t>
  </si>
  <si>
    <t>23.51p</t>
  </si>
  <si>
    <t>16.56p</t>
  </si>
  <si>
    <t>Earnings per share from continuing operations</t>
  </si>
  <si>
    <t>23.41p</t>
  </si>
  <si>
    <t>24.80p</t>
  </si>
  <si>
    <t>23.13p</t>
  </si>
  <si>
    <t>24.53p</t>
  </si>
  <si>
    <t>Before adjusting
items3</t>
  </si>
  <si>
    <t>Adjusting items
(Note 5)4</t>
  </si>
  <si>
    <t>Total5</t>
  </si>
  <si>
    <t>FY2025</t>
  </si>
  <si>
    <t>FY2024</t>
  </si>
  <si>
    <t xml:space="preserve">Tesco Financial Report </t>
  </si>
  <si>
    <t>CALCULATIONS BASED ON THE FILTERED TABLE ABOVE</t>
  </si>
  <si>
    <t>Tesco PLC – Advanced FP&amp;A / Management Information Workbook</t>
  </si>
  <si>
    <t>Purpose</t>
  </si>
  <si>
    <t>Annual Report sections used:</t>
  </si>
  <si>
    <t>• Group income statement</t>
  </si>
  <si>
    <t>• Group cash flow statement</t>
  </si>
  <si>
    <t>• Key performance indicators</t>
  </si>
  <si>
    <t>Revenue increased by ~2.5% year-on-year, indicating resilient demand and pricing</t>
  </si>
  <si>
    <t>Gross margin improved slightly year-on-year, suggesting stable core trading performance</t>
  </si>
  <si>
    <t>Operating margin declined from ~4.1% to ~3.9%, reflecting higher operating cost pressure</t>
  </si>
  <si>
    <t>Operating profit decreased by £110m year-on-year despite revenue growth</t>
  </si>
  <si>
    <t>Metric</t>
  </si>
  <si>
    <t>Management Insight</t>
  </si>
  <si>
    <t>Operating profit(£m)</t>
  </si>
  <si>
    <t>Operating margin(%)</t>
  </si>
  <si>
    <t>Gross Margin (%)</t>
  </si>
  <si>
    <t>Revenue Growth(%)</t>
  </si>
  <si>
    <t xml:space="preserve">                   -</t>
  </si>
  <si>
    <t>Revenue(£m)</t>
  </si>
  <si>
    <t>Year</t>
  </si>
  <si>
    <t>This workbook presents an FP&amp;A-style analysis of Tesco PLC’s financial performance, using management information derived exclusively from the Annual Report and Financial Statements.The analysis focuses on revenue growth, profitability, and margin movements, with all calculations fully transparent and traceable to source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</si>
</sst>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8"/>
      <name val="Aptos Narrow"/>
      <family val="2"/>
      <scheme val="minor"/>
    </font>
    <font>
      <b/>
      <sz val="15"/>
      <color theme="1"/>
      <name val="Aptos Narrow"/>
      <family val="2"/>
      <scheme val="minor"/>
    </font>
    <font>
      <b/>
      <i/>
      <sz val="11"/>
      <color theme="1"/>
      <name val="Aptos Narrow"/>
      <family val="2"/>
      <scheme val="minor"/>
    </font>
    <font>
      <b/>
      <sz val="16"/>
      <name val="Calibri"/>
      <family val="2"/>
    </font>
    <font>
      <b/>
      <sz val="11"/>
      <name val="Calibri"/>
      <family val="2"/>
    </font>
    <font>
      <b/>
      <sz val="11"/>
      <color theme="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1" fillId="0" borderId="0" xfId="0" applyFont="1"/>
    <xf numFmtId="0" fontId="3" fillId="0" borderId="0" xfId="0" applyFont="1"/>
    <xf numFmtId="0" fontId="5" fillId="0" borderId="0" xfId="0" applyFont="1"/>
    <xf numFmtId="0" fontId="6" fillId="0" borderId="0" xfId="0" applyFont="1"/>
    <xf numFmtId="0" fontId="7" fillId="3" borderId="1" xfId="0" applyFont="1" applyFill="1" applyBorder="1"/>
    <xf numFmtId="0" fontId="0" fillId="4" borderId="1" xfId="0" applyFill="1" applyBorder="1"/>
    <xf numFmtId="0" fontId="0" fillId="0" borderId="1" xfId="0" applyBorder="1"/>
    <xf numFmtId="0" fontId="0" fillId="4" borderId="10" xfId="0" applyFill="1" applyBorder="1"/>
    <xf numFmtId="0" fontId="0" fillId="0" borderId="2" xfId="0" applyBorder="1"/>
    <xf numFmtId="0" fontId="0" fillId="0" borderId="3" xfId="0" applyBorder="1"/>
    <xf numFmtId="0" fontId="0" fillId="0" borderId="4" xfId="0" applyBorder="1"/>
    <xf numFmtId="0" fontId="7" fillId="3" borderId="0" xfId="0" applyFont="1" applyFill="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4" borderId="0" xfId="0" applyFill="1" applyAlignment="1">
      <alignment horizontal="center"/>
    </xf>
    <xf numFmtId="0" fontId="0" fillId="4" borderId="6" xfId="0" applyFill="1" applyBorder="1" applyAlignment="1">
      <alignment horizontal="center"/>
    </xf>
    <xf numFmtId="0" fontId="0" fillId="4" borderId="1" xfId="0" applyFill="1"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4" fillId="2" borderId="0" xfId="0" applyFont="1" applyFill="1" applyAlignment="1">
      <alignment horizontal="center"/>
    </xf>
    <xf numFmtId="0" fontId="0" fillId="0" borderId="0" xfId="0"/>
    <xf numFmtId="0" fontId="0" fillId="0" borderId="0" xfId="0" applyAlignment="1">
      <alignment horizontal="center"/>
    </xf>
  </cellXfs>
  <cellStyles count="1">
    <cellStyle name="Normal" xfId="0" builtinId="0"/>
  </cellStyles>
  <dxfs count="10">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b="1"/>
              <a:t>Revenue and Operating Profit –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GB" b="1"/>
              <a:t>FY2024 vs FY2025</a:t>
            </a: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'Performance Analysis'!$D$69</c:f>
              <c:strCache>
                <c:ptCount val="1"/>
                <c:pt idx="0">
                  <c:v>Revenue(£m)</c:v>
                </c:pt>
              </c:strCache>
            </c:strRef>
          </c:tx>
          <c:spPr>
            <a:solidFill>
              <a:schemeClr val="accent1"/>
            </a:solidFill>
            <a:ln>
              <a:noFill/>
            </a:ln>
            <a:effectLst/>
          </c:spPr>
          <c:invertIfNegative val="0"/>
          <c:cat>
            <c:strRef>
              <c:f>'Performance Analysis'!$C$70:$C$71</c:f>
              <c:strCache>
                <c:ptCount val="2"/>
                <c:pt idx="0">
                  <c:v>FY2024</c:v>
                </c:pt>
                <c:pt idx="1">
                  <c:v>FY2025</c:v>
                </c:pt>
              </c:strCache>
            </c:strRef>
          </c:cat>
          <c:val>
            <c:numRef>
              <c:f>'Performance Analysis'!$D$70:$D$71</c:f>
              <c:numCache>
                <c:formatCode>General</c:formatCode>
                <c:ptCount val="2"/>
                <c:pt idx="0">
                  <c:v>68187</c:v>
                </c:pt>
                <c:pt idx="1">
                  <c:v>69916</c:v>
                </c:pt>
              </c:numCache>
            </c:numRef>
          </c:val>
          <c:extLst>
            <c:ext xmlns:c16="http://schemas.microsoft.com/office/drawing/2014/chart" uri="{C3380CC4-5D6E-409C-BE32-E72D297353CC}">
              <c16:uniqueId val="{00000000-592D-4779-B46D-0341594CFC88}"/>
            </c:ext>
          </c:extLst>
        </c:ser>
        <c:ser>
          <c:idx val="1"/>
          <c:order val="1"/>
          <c:tx>
            <c:strRef>
              <c:f>'Performance Analysis'!$E$69</c:f>
              <c:strCache>
                <c:ptCount val="1"/>
                <c:pt idx="0">
                  <c:v>Operating profit(£m)</c:v>
                </c:pt>
              </c:strCache>
            </c:strRef>
          </c:tx>
          <c:spPr>
            <a:solidFill>
              <a:schemeClr val="accent2"/>
            </a:solidFill>
            <a:ln>
              <a:noFill/>
            </a:ln>
            <a:effectLst/>
          </c:spPr>
          <c:invertIfNegative val="0"/>
          <c:cat>
            <c:strRef>
              <c:f>'Performance Analysis'!$C$70:$C$71</c:f>
              <c:strCache>
                <c:ptCount val="2"/>
                <c:pt idx="0">
                  <c:v>FY2024</c:v>
                </c:pt>
                <c:pt idx="1">
                  <c:v>FY2025</c:v>
                </c:pt>
              </c:strCache>
            </c:strRef>
          </c:cat>
          <c:val>
            <c:numRef>
              <c:f>'Performance Analysis'!$E$70:$E$71</c:f>
              <c:numCache>
                <c:formatCode>General</c:formatCode>
                <c:ptCount val="2"/>
                <c:pt idx="0">
                  <c:v>2829</c:v>
                </c:pt>
                <c:pt idx="1">
                  <c:v>2711</c:v>
                </c:pt>
              </c:numCache>
            </c:numRef>
          </c:val>
          <c:extLst>
            <c:ext xmlns:c16="http://schemas.microsoft.com/office/drawing/2014/chart" uri="{C3380CC4-5D6E-409C-BE32-E72D297353CC}">
              <c16:uniqueId val="{00000001-592D-4779-B46D-0341594CFC88}"/>
            </c:ext>
          </c:extLst>
        </c:ser>
        <c:dLbls>
          <c:showLegendKey val="0"/>
          <c:showVal val="0"/>
          <c:showCatName val="0"/>
          <c:showSerName val="0"/>
          <c:showPercent val="0"/>
          <c:showBubbleSize val="0"/>
        </c:dLbls>
        <c:gapWidth val="219"/>
        <c:overlap val="-27"/>
        <c:axId val="1933090032"/>
        <c:axId val="1933090512"/>
      </c:barChart>
      <c:catAx>
        <c:axId val="193309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90512"/>
        <c:crosses val="autoZero"/>
        <c:auto val="1"/>
        <c:lblAlgn val="ctr"/>
        <c:lblOffset val="100"/>
        <c:noMultiLvlLbl val="0"/>
      </c:catAx>
      <c:valAx>
        <c:axId val="193309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90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3175</xdr:colOff>
      <xdr:row>61</xdr:row>
      <xdr:rowOff>6350</xdr:rowOff>
    </xdr:from>
    <xdr:to>
      <xdr:col>11</xdr:col>
      <xdr:colOff>549275</xdr:colOff>
      <xdr:row>75</xdr:row>
      <xdr:rowOff>171450</xdr:rowOff>
    </xdr:to>
    <xdr:graphicFrame macro="">
      <xdr:nvGraphicFramePr>
        <xdr:cNvPr id="5" name="Chart 4">
          <a:extLst>
            <a:ext uri="{FF2B5EF4-FFF2-40B4-BE49-F238E27FC236}">
              <a16:creationId xmlns:a16="http://schemas.microsoft.com/office/drawing/2014/main" id="{29B13D0D-732A-6177-E02A-4381D6DEF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3F06B8-3ED5-4F0D-8F8A-D2A5DFAFCD32}" name="Table2" displayName="Table2" ref="A4:H34" totalsRowShown="0" dataDxfId="9" tableBorderDxfId="8">
  <autoFilter ref="A4:H34" xr:uid="{933F06B8-3ED5-4F0D-8F8A-D2A5DFAFCD32}">
    <filterColumn colId="0">
      <filters>
        <filter val="Gross profit/(loss)"/>
        <filter val="Operating profit/(loss)"/>
        <filter val="Profit/(loss) before tax from continuing operations"/>
        <filter val="Revenue"/>
      </filters>
    </filterColumn>
  </autoFilter>
  <tableColumns count="8">
    <tableColumn id="1" xr3:uid="{40011E10-5140-45C1-807F-6144457A2CD6}" name="Metric" dataDxfId="7"/>
    <tableColumn id="2" xr3:uid="{BDE97209-6577-4C4B-B1E3-128E36BB8103}" name="Column2" dataDxfId="6"/>
    <tableColumn id="3" xr3:uid="{46E4BAD8-E80B-436D-8878-F1E92027EB8C}" name="Before adjusting_x000a_items" dataDxfId="5"/>
    <tableColumn id="4" xr3:uid="{787295B1-A5D5-4173-B36C-78D0CE7D13DD}" name="Adjusting items_x000a_(Note 5)" dataDxfId="4"/>
    <tableColumn id="5" xr3:uid="{F01C9402-32EA-472A-9D81-F61B38AA6FB6}" name="Total" dataDxfId="3"/>
    <tableColumn id="6" xr3:uid="{00A58E62-F92B-474D-BC31-3CDDC8CF2E28}" name="Before adjusting_x000a_items3" dataDxfId="2"/>
    <tableColumn id="7" xr3:uid="{D3C3C17F-E7FA-424D-AD7B-6DD2BAECBB5C}" name="Adjusting items_x000a_(Note 5)4" dataDxfId="1"/>
    <tableColumn id="8" xr3:uid="{F9F20A8B-102B-40F4-A2F6-7DA0C295E379}" name="Total5"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DBB73F1-02D7-487D-A878-DCD9C5C8C607}" name="Table7" displayName="Table7" ref="C69:E71" totalsRowShown="0">
  <autoFilter ref="C69:E71" xr:uid="{9DBB73F1-02D7-487D-A878-DCD9C5C8C607}"/>
  <tableColumns count="3">
    <tableColumn id="1" xr3:uid="{B87D8494-344F-4C07-8212-602771F5E83A}" name="Year"/>
    <tableColumn id="2" xr3:uid="{D42251E6-C1D9-40DF-BD7F-D98850B8A1C7}" name="Revenue(£m)"/>
    <tableColumn id="3" xr3:uid="{A842BC26-F781-4738-ABB5-04C9EBB6E0C8}" name="Operating profit(£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A88E4-740E-4415-B650-59FE818AD614}">
  <dimension ref="A1:A9"/>
  <sheetViews>
    <sheetView workbookViewId="0">
      <selection activeCell="D13" sqref="D13"/>
    </sheetView>
  </sheetViews>
  <sheetFormatPr defaultRowHeight="14.5" x14ac:dyDescent="0.35"/>
  <sheetData>
    <row r="1" spans="1:1" ht="21" x14ac:dyDescent="0.5">
      <c r="A1" s="3" t="s">
        <v>133</v>
      </c>
    </row>
    <row r="3" spans="1:1" x14ac:dyDescent="0.35">
      <c r="A3" s="4" t="s">
        <v>134</v>
      </c>
    </row>
    <row r="4" spans="1:1" x14ac:dyDescent="0.35">
      <c r="A4" t="s">
        <v>152</v>
      </c>
    </row>
    <row r="6" spans="1:1" x14ac:dyDescent="0.35">
      <c r="A6" s="4" t="s">
        <v>135</v>
      </c>
    </row>
    <row r="7" spans="1:1" x14ac:dyDescent="0.35">
      <c r="A7" t="s">
        <v>136</v>
      </c>
    </row>
    <row r="8" spans="1:1" x14ac:dyDescent="0.35">
      <c r="A8" t="s">
        <v>137</v>
      </c>
    </row>
    <row r="9" spans="1:1" x14ac:dyDescent="0.35">
      <c r="A9" t="s">
        <v>138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5BE7D-F30C-4C9E-B6C9-877CA7B3CF37}">
  <dimension ref="A1:H71"/>
  <sheetViews>
    <sheetView tabSelected="1" workbookViewId="0">
      <selection activeCell="E76" sqref="E76"/>
    </sheetView>
  </sheetViews>
  <sheetFormatPr defaultRowHeight="14.5" x14ac:dyDescent="0.35"/>
  <cols>
    <col min="1" max="1" width="52.6328125" bestFit="1" customWidth="1"/>
    <col min="2" max="2" width="10.7265625" bestFit="1" customWidth="1"/>
    <col min="3" max="3" width="19.36328125" bestFit="1" customWidth="1"/>
    <col min="4" max="4" width="20.7265625" bestFit="1" customWidth="1"/>
    <col min="5" max="5" width="19.81640625" customWidth="1"/>
    <col min="6" max="6" width="19.36328125" bestFit="1" customWidth="1"/>
    <col min="7" max="7" width="20.7265625" bestFit="1" customWidth="1"/>
    <col min="8" max="8" width="10.7265625" bestFit="1" customWidth="1"/>
  </cols>
  <sheetData>
    <row r="1" spans="1:8" ht="19.5" x14ac:dyDescent="0.45">
      <c r="A1" s="2" t="s">
        <v>131</v>
      </c>
    </row>
    <row r="2" spans="1:8" x14ac:dyDescent="0.35">
      <c r="D2" t="s">
        <v>1</v>
      </c>
      <c r="G2" t="s">
        <v>1</v>
      </c>
    </row>
    <row r="3" spans="1:8" x14ac:dyDescent="0.35">
      <c r="D3" t="s">
        <v>2</v>
      </c>
      <c r="G3" t="s">
        <v>3</v>
      </c>
    </row>
    <row r="4" spans="1:8" x14ac:dyDescent="0.35">
      <c r="A4" t="s">
        <v>143</v>
      </c>
      <c r="B4" t="s">
        <v>0</v>
      </c>
      <c r="C4" t="s">
        <v>4</v>
      </c>
      <c r="D4" t="s">
        <v>5</v>
      </c>
      <c r="E4" t="s">
        <v>6</v>
      </c>
      <c r="F4" t="s">
        <v>126</v>
      </c>
      <c r="G4" t="s">
        <v>127</v>
      </c>
      <c r="H4" t="s">
        <v>128</v>
      </c>
    </row>
    <row r="5" spans="1:8" hidden="1" x14ac:dyDescent="0.35">
      <c r="B5" t="s">
        <v>7</v>
      </c>
      <c r="C5" t="s">
        <v>8</v>
      </c>
      <c r="D5" t="s">
        <v>8</v>
      </c>
      <c r="E5" t="s">
        <v>8</v>
      </c>
      <c r="F5" t="s">
        <v>8</v>
      </c>
      <c r="G5" t="s">
        <v>8</v>
      </c>
      <c r="H5" t="s">
        <v>8</v>
      </c>
    </row>
    <row r="6" spans="1:8" hidden="1" x14ac:dyDescent="0.35">
      <c r="A6" t="s">
        <v>9</v>
      </c>
    </row>
    <row r="7" spans="1:8" hidden="1" x14ac:dyDescent="0.35">
      <c r="A7" t="s">
        <v>10</v>
      </c>
      <c r="C7" t="s">
        <v>11</v>
      </c>
      <c r="D7" t="s">
        <v>12</v>
      </c>
      <c r="E7" t="s">
        <v>11</v>
      </c>
      <c r="F7" t="s">
        <v>13</v>
      </c>
      <c r="G7" t="s">
        <v>12</v>
      </c>
      <c r="H7" t="s">
        <v>13</v>
      </c>
    </row>
    <row r="8" spans="1:8" hidden="1" x14ac:dyDescent="0.35">
      <c r="A8" t="s">
        <v>14</v>
      </c>
      <c r="B8" t="s">
        <v>15</v>
      </c>
      <c r="C8" t="s">
        <v>16</v>
      </c>
      <c r="D8" t="s">
        <v>12</v>
      </c>
      <c r="E8" t="s">
        <v>16</v>
      </c>
      <c r="F8" t="s">
        <v>17</v>
      </c>
      <c r="G8" t="s">
        <v>12</v>
      </c>
      <c r="H8" t="s">
        <v>17</v>
      </c>
    </row>
    <row r="9" spans="1:8" x14ac:dyDescent="0.35">
      <c r="A9" t="s">
        <v>18</v>
      </c>
      <c r="B9" t="s">
        <v>19</v>
      </c>
      <c r="C9" t="s">
        <v>20</v>
      </c>
      <c r="D9" t="s">
        <v>12</v>
      </c>
      <c r="E9" t="s">
        <v>20</v>
      </c>
      <c r="F9" t="s">
        <v>21</v>
      </c>
      <c r="G9" t="s">
        <v>12</v>
      </c>
      <c r="H9" t="s">
        <v>21</v>
      </c>
    </row>
    <row r="10" spans="1:8" hidden="1" x14ac:dyDescent="0.35">
      <c r="A10" t="s">
        <v>22</v>
      </c>
      <c r="C10" t="s">
        <v>23</v>
      </c>
      <c r="D10" t="s">
        <v>24</v>
      </c>
      <c r="E10" t="s">
        <v>25</v>
      </c>
      <c r="F10" t="s">
        <v>26</v>
      </c>
      <c r="G10" t="s">
        <v>27</v>
      </c>
      <c r="H10" t="s">
        <v>28</v>
      </c>
    </row>
    <row r="11" spans="1:8" hidden="1" x14ac:dyDescent="0.35">
      <c r="A11" t="s">
        <v>29</v>
      </c>
      <c r="B11" t="s">
        <v>15</v>
      </c>
      <c r="C11" t="s">
        <v>30</v>
      </c>
      <c r="D11" t="s">
        <v>12</v>
      </c>
      <c r="E11" t="s">
        <v>30</v>
      </c>
      <c r="F11" t="s">
        <v>31</v>
      </c>
      <c r="G11" t="s">
        <v>12</v>
      </c>
      <c r="H11" t="s">
        <v>31</v>
      </c>
    </row>
    <row r="12" spans="1:8" hidden="1" x14ac:dyDescent="0.35">
      <c r="A12" t="s">
        <v>32</v>
      </c>
      <c r="B12" t="s">
        <v>15</v>
      </c>
      <c r="C12" t="s">
        <v>33</v>
      </c>
      <c r="D12" t="s">
        <v>12</v>
      </c>
      <c r="E12" t="s">
        <v>33</v>
      </c>
      <c r="F12" t="s">
        <v>34</v>
      </c>
      <c r="G12" t="s">
        <v>12</v>
      </c>
      <c r="H12" t="s">
        <v>34</v>
      </c>
    </row>
    <row r="13" spans="1:8" x14ac:dyDescent="0.35">
      <c r="A13" t="s">
        <v>35</v>
      </c>
      <c r="C13" t="s">
        <v>36</v>
      </c>
      <c r="D13" t="s">
        <v>24</v>
      </c>
      <c r="E13" t="s">
        <v>37</v>
      </c>
      <c r="F13" t="s">
        <v>38</v>
      </c>
      <c r="G13" t="s">
        <v>27</v>
      </c>
      <c r="H13" t="s">
        <v>39</v>
      </c>
    </row>
    <row r="14" spans="1:8" hidden="1" x14ac:dyDescent="0.35">
      <c r="A14" t="s">
        <v>40</v>
      </c>
      <c r="C14" t="s">
        <v>41</v>
      </c>
      <c r="D14" t="s">
        <v>42</v>
      </c>
      <c r="E14" t="s">
        <v>43</v>
      </c>
      <c r="F14" t="s">
        <v>44</v>
      </c>
      <c r="G14" t="s">
        <v>27</v>
      </c>
      <c r="H14" t="s">
        <v>45</v>
      </c>
    </row>
    <row r="15" spans="1:8" x14ac:dyDescent="0.35">
      <c r="A15" t="s">
        <v>46</v>
      </c>
      <c r="B15" t="s">
        <v>47</v>
      </c>
      <c r="C15" t="s">
        <v>48</v>
      </c>
      <c r="D15" t="s">
        <v>49</v>
      </c>
      <c r="E15" t="s">
        <v>50</v>
      </c>
      <c r="F15" t="s">
        <v>51</v>
      </c>
      <c r="G15" t="s">
        <v>52</v>
      </c>
      <c r="H15" t="s">
        <v>53</v>
      </c>
    </row>
    <row r="16" spans="1:8" hidden="1" x14ac:dyDescent="0.35">
      <c r="A16" t="s">
        <v>54</v>
      </c>
      <c r="B16" t="s">
        <v>55</v>
      </c>
      <c r="C16" t="s">
        <v>27</v>
      </c>
      <c r="D16" t="s">
        <v>12</v>
      </c>
      <c r="E16" t="s">
        <v>27</v>
      </c>
      <c r="F16" t="s">
        <v>56</v>
      </c>
      <c r="G16" t="s">
        <v>12</v>
      </c>
      <c r="H16" t="s">
        <v>56</v>
      </c>
    </row>
    <row r="17" spans="1:8" hidden="1" x14ac:dyDescent="0.35">
      <c r="A17" t="s">
        <v>57</v>
      </c>
      <c r="B17" t="s">
        <v>56</v>
      </c>
      <c r="C17" t="s">
        <v>58</v>
      </c>
      <c r="D17" t="s">
        <v>12</v>
      </c>
      <c r="E17" t="s">
        <v>58</v>
      </c>
      <c r="F17" t="s">
        <v>59</v>
      </c>
      <c r="G17" t="s">
        <v>12</v>
      </c>
      <c r="H17" t="s">
        <v>59</v>
      </c>
    </row>
    <row r="18" spans="1:8" hidden="1" x14ac:dyDescent="0.35">
      <c r="A18" t="s">
        <v>60</v>
      </c>
      <c r="B18" t="s">
        <v>56</v>
      </c>
      <c r="C18" t="s">
        <v>61</v>
      </c>
      <c r="D18" t="s">
        <v>62</v>
      </c>
      <c r="E18" t="s">
        <v>63</v>
      </c>
      <c r="F18" t="s">
        <v>64</v>
      </c>
      <c r="G18" t="s">
        <v>65</v>
      </c>
      <c r="H18" t="s">
        <v>66</v>
      </c>
    </row>
    <row r="19" spans="1:8" x14ac:dyDescent="0.35">
      <c r="A19" t="s">
        <v>67</v>
      </c>
      <c r="C19" t="s">
        <v>68</v>
      </c>
      <c r="D19" t="s">
        <v>69</v>
      </c>
      <c r="E19" t="s">
        <v>70</v>
      </c>
      <c r="F19" t="s">
        <v>71</v>
      </c>
      <c r="G19" t="s">
        <v>72</v>
      </c>
      <c r="H19" t="s">
        <v>73</v>
      </c>
    </row>
    <row r="20" spans="1:8" hidden="1" x14ac:dyDescent="0.35">
      <c r="A20" t="s">
        <v>74</v>
      </c>
      <c r="B20" t="s">
        <v>75</v>
      </c>
      <c r="C20" t="s">
        <v>76</v>
      </c>
      <c r="D20" t="s">
        <v>77</v>
      </c>
      <c r="E20" t="s">
        <v>78</v>
      </c>
      <c r="F20" t="s">
        <v>79</v>
      </c>
      <c r="G20" t="s">
        <v>80</v>
      </c>
      <c r="H20" t="s">
        <v>81</v>
      </c>
    </row>
    <row r="21" spans="1:8" hidden="1" x14ac:dyDescent="0.35">
      <c r="A21" t="s">
        <v>82</v>
      </c>
      <c r="C21" t="s">
        <v>83</v>
      </c>
      <c r="D21" t="s">
        <v>84</v>
      </c>
      <c r="E21" t="s">
        <v>85</v>
      </c>
      <c r="F21" t="s">
        <v>86</v>
      </c>
      <c r="G21" t="s">
        <v>87</v>
      </c>
      <c r="H21" t="s">
        <v>88</v>
      </c>
    </row>
    <row r="22" spans="1:8" hidden="1" x14ac:dyDescent="0.35">
      <c r="A22" t="s">
        <v>89</v>
      </c>
    </row>
    <row r="23" spans="1:8" hidden="1" x14ac:dyDescent="0.35">
      <c r="A23" t="s">
        <v>90</v>
      </c>
      <c r="B23" t="s">
        <v>91</v>
      </c>
      <c r="C23" t="s">
        <v>92</v>
      </c>
      <c r="D23" t="s">
        <v>93</v>
      </c>
      <c r="E23" t="s">
        <v>94</v>
      </c>
      <c r="F23" t="s">
        <v>95</v>
      </c>
      <c r="G23" t="s">
        <v>96</v>
      </c>
      <c r="H23" t="s">
        <v>97</v>
      </c>
    </row>
    <row r="24" spans="1:8" hidden="1" x14ac:dyDescent="0.35">
      <c r="A24" t="s">
        <v>98</v>
      </c>
      <c r="C24" t="s">
        <v>99</v>
      </c>
      <c r="D24" t="s">
        <v>100</v>
      </c>
      <c r="E24" t="s">
        <v>101</v>
      </c>
      <c r="F24" t="s">
        <v>102</v>
      </c>
      <c r="G24" t="s">
        <v>103</v>
      </c>
      <c r="H24" t="s">
        <v>104</v>
      </c>
    </row>
    <row r="25" spans="1:8" hidden="1" x14ac:dyDescent="0.35">
      <c r="A25" t="s">
        <v>105</v>
      </c>
    </row>
    <row r="26" spans="1:8" hidden="1" x14ac:dyDescent="0.35">
      <c r="A26" t="s">
        <v>106</v>
      </c>
      <c r="C26" t="s">
        <v>107</v>
      </c>
      <c r="D26" t="s">
        <v>100</v>
      </c>
      <c r="E26" t="s">
        <v>108</v>
      </c>
      <c r="F26" t="s">
        <v>109</v>
      </c>
      <c r="G26" t="s">
        <v>103</v>
      </c>
      <c r="H26" t="s">
        <v>110</v>
      </c>
    </row>
    <row r="27" spans="1:8" hidden="1" x14ac:dyDescent="0.35">
      <c r="A27" t="s">
        <v>111</v>
      </c>
      <c r="C27" t="s">
        <v>112</v>
      </c>
      <c r="D27" t="s">
        <v>12</v>
      </c>
      <c r="E27" t="s">
        <v>112</v>
      </c>
      <c r="F27" t="s">
        <v>112</v>
      </c>
      <c r="G27" t="s">
        <v>12</v>
      </c>
      <c r="H27" t="s">
        <v>112</v>
      </c>
    </row>
    <row r="28" spans="1:8" hidden="1" x14ac:dyDescent="0.35">
      <c r="C28" t="s">
        <v>99</v>
      </c>
      <c r="D28" t="s">
        <v>100</v>
      </c>
      <c r="E28" t="s">
        <v>101</v>
      </c>
      <c r="F28" t="s">
        <v>102</v>
      </c>
      <c r="G28" t="s">
        <v>103</v>
      </c>
      <c r="H28" t="s">
        <v>104</v>
      </c>
    </row>
    <row r="29" spans="1:8" hidden="1" x14ac:dyDescent="0.35">
      <c r="A29" t="s">
        <v>113</v>
      </c>
    </row>
    <row r="30" spans="1:8" hidden="1" x14ac:dyDescent="0.35">
      <c r="A30" t="s">
        <v>114</v>
      </c>
      <c r="B30" t="s">
        <v>115</v>
      </c>
      <c r="E30" t="s">
        <v>116</v>
      </c>
      <c r="H30" t="s">
        <v>117</v>
      </c>
    </row>
    <row r="31" spans="1:8" hidden="1" x14ac:dyDescent="0.35">
      <c r="A31" t="s">
        <v>118</v>
      </c>
      <c r="B31" t="s">
        <v>115</v>
      </c>
      <c r="E31" t="s">
        <v>119</v>
      </c>
      <c r="H31" t="s">
        <v>120</v>
      </c>
    </row>
    <row r="32" spans="1:8" hidden="1" x14ac:dyDescent="0.35">
      <c r="A32" t="s">
        <v>121</v>
      </c>
    </row>
    <row r="33" spans="1:8" hidden="1" x14ac:dyDescent="0.35">
      <c r="A33" t="s">
        <v>114</v>
      </c>
      <c r="B33" t="s">
        <v>115</v>
      </c>
      <c r="E33" t="s">
        <v>122</v>
      </c>
      <c r="H33" t="s">
        <v>123</v>
      </c>
    </row>
    <row r="34" spans="1:8" hidden="1" x14ac:dyDescent="0.35">
      <c r="A34" t="s">
        <v>118</v>
      </c>
      <c r="B34" t="s">
        <v>115</v>
      </c>
      <c r="E34" t="s">
        <v>124</v>
      </c>
      <c r="H34" t="s">
        <v>125</v>
      </c>
    </row>
    <row r="36" spans="1:8" x14ac:dyDescent="0.35">
      <c r="A36" s="24"/>
      <c r="B36" s="24"/>
      <c r="C36" s="24"/>
      <c r="D36" s="1"/>
    </row>
    <row r="37" spans="1:8" x14ac:dyDescent="0.35">
      <c r="A37" s="1"/>
      <c r="D37" s="24"/>
      <c r="E37" s="24"/>
      <c r="F37" s="24"/>
      <c r="G37" s="24"/>
    </row>
    <row r="38" spans="1:8" x14ac:dyDescent="0.35">
      <c r="A38" s="1"/>
    </row>
    <row r="39" spans="1:8" x14ac:dyDescent="0.35">
      <c r="A39" s="1"/>
    </row>
    <row r="40" spans="1:8" x14ac:dyDescent="0.35">
      <c r="D40" s="25"/>
      <c r="E40" s="25"/>
      <c r="F40" s="25"/>
      <c r="G40" s="25"/>
    </row>
    <row r="43" spans="1:8" x14ac:dyDescent="0.35">
      <c r="A43" s="1"/>
    </row>
    <row r="44" spans="1:8" x14ac:dyDescent="0.35">
      <c r="D44" s="25"/>
      <c r="E44" s="25"/>
      <c r="F44" s="25"/>
      <c r="G44" s="25"/>
    </row>
    <row r="47" spans="1:8" x14ac:dyDescent="0.35">
      <c r="A47" s="1"/>
      <c r="D47" s="24"/>
      <c r="E47" s="24"/>
      <c r="F47" s="24"/>
      <c r="G47" s="24"/>
    </row>
    <row r="49" spans="1:8" x14ac:dyDescent="0.35">
      <c r="A49" s="23" t="s">
        <v>132</v>
      </c>
      <c r="B49" s="23"/>
      <c r="C49" s="23"/>
      <c r="D49" s="23"/>
      <c r="E49" s="23"/>
      <c r="F49" s="23"/>
      <c r="G49" s="23"/>
      <c r="H49" s="23"/>
    </row>
    <row r="51" spans="1:8" x14ac:dyDescent="0.35">
      <c r="A51" s="5" t="s">
        <v>143</v>
      </c>
      <c r="B51" s="5" t="s">
        <v>129</v>
      </c>
      <c r="C51" s="5" t="s">
        <v>130</v>
      </c>
      <c r="D51" s="12" t="s">
        <v>144</v>
      </c>
      <c r="E51" s="12"/>
      <c r="F51" s="12"/>
      <c r="G51" s="12"/>
      <c r="H51" s="12"/>
    </row>
    <row r="52" spans="1:8" x14ac:dyDescent="0.35">
      <c r="A52" s="6" t="s">
        <v>148</v>
      </c>
      <c r="B52" s="6">
        <f>SUM((C9/F9)-1)*100</f>
        <v>2.5356739554460495</v>
      </c>
      <c r="C52" s="6" t="s">
        <v>149</v>
      </c>
      <c r="D52" s="13" t="s">
        <v>139</v>
      </c>
      <c r="E52" s="14"/>
      <c r="F52" s="14"/>
      <c r="G52" s="14"/>
      <c r="H52" s="15"/>
    </row>
    <row r="53" spans="1:8" x14ac:dyDescent="0.35">
      <c r="A53" s="7"/>
      <c r="B53" s="7"/>
      <c r="C53" s="7"/>
      <c r="D53" s="9"/>
      <c r="E53" s="10"/>
      <c r="F53" s="10"/>
      <c r="G53" s="10"/>
      <c r="H53" s="11"/>
    </row>
    <row r="54" spans="1:8" x14ac:dyDescent="0.35">
      <c r="A54" s="6" t="s">
        <v>147</v>
      </c>
      <c r="B54" s="6">
        <f>SUM(E13/E9)*100</f>
        <v>7.2243835459694496</v>
      </c>
      <c r="C54" s="8">
        <f>SUM(F13/F9)*100</f>
        <v>7.1171924267089031</v>
      </c>
      <c r="D54" s="16" t="s">
        <v>140</v>
      </c>
      <c r="E54" s="17"/>
      <c r="F54" s="17"/>
      <c r="G54" s="17"/>
      <c r="H54" s="18"/>
    </row>
    <row r="55" spans="1:8" x14ac:dyDescent="0.35">
      <c r="A55" s="7"/>
      <c r="B55" s="7"/>
      <c r="C55" s="7"/>
      <c r="D55" s="9"/>
      <c r="E55" s="10"/>
      <c r="F55" s="10"/>
      <c r="G55" s="10"/>
      <c r="H55" s="11"/>
    </row>
    <row r="56" spans="1:8" x14ac:dyDescent="0.35">
      <c r="A56" s="6" t="s">
        <v>146</v>
      </c>
      <c r="B56" s="6">
        <f>SUM(E15/E9)*100</f>
        <v>3.8775101550431947</v>
      </c>
      <c r="C56" s="6">
        <f>SUM(F15/F9)*100</f>
        <v>4.1488846847639582</v>
      </c>
      <c r="D56" s="19" t="s">
        <v>141</v>
      </c>
      <c r="E56" s="19"/>
      <c r="F56" s="19"/>
      <c r="G56" s="19"/>
      <c r="H56" s="19"/>
    </row>
    <row r="57" spans="1:8" x14ac:dyDescent="0.35">
      <c r="A57" s="7"/>
      <c r="B57" s="7"/>
      <c r="C57" s="7"/>
      <c r="D57" s="9"/>
      <c r="E57" s="10"/>
      <c r="F57" s="10"/>
      <c r="G57" s="10"/>
      <c r="H57" s="11"/>
    </row>
    <row r="58" spans="1:8" x14ac:dyDescent="0.35">
      <c r="A58" s="6" t="s">
        <v>145</v>
      </c>
      <c r="B58" s="6">
        <v>2711</v>
      </c>
      <c r="C58" s="6">
        <v>2829</v>
      </c>
      <c r="D58" s="20" t="s">
        <v>142</v>
      </c>
      <c r="E58" s="21"/>
      <c r="F58" s="21"/>
      <c r="G58" s="21"/>
      <c r="H58" s="22"/>
    </row>
    <row r="69" spans="3:5" x14ac:dyDescent="0.35">
      <c r="C69" t="s">
        <v>151</v>
      </c>
      <c r="D69" t="s">
        <v>150</v>
      </c>
      <c r="E69" t="s">
        <v>145</v>
      </c>
    </row>
    <row r="70" spans="3:5" x14ac:dyDescent="0.35">
      <c r="C70" t="s">
        <v>130</v>
      </c>
      <c r="D70">
        <v>68187</v>
      </c>
      <c r="E70">
        <v>2829</v>
      </c>
    </row>
    <row r="71" spans="3:5" x14ac:dyDescent="0.35">
      <c r="C71" t="s">
        <v>129</v>
      </c>
      <c r="D71">
        <v>69916</v>
      </c>
      <c r="E71">
        <v>2711</v>
      </c>
    </row>
  </sheetData>
  <mergeCells count="11">
    <mergeCell ref="A49:H49"/>
    <mergeCell ref="A36:C36"/>
    <mergeCell ref="D37:G37"/>
    <mergeCell ref="D40:G40"/>
    <mergeCell ref="D44:G44"/>
    <mergeCell ref="D47:G47"/>
    <mergeCell ref="D51:H51"/>
    <mergeCell ref="D52:H52"/>
    <mergeCell ref="D54:H54"/>
    <mergeCell ref="D56:H56"/>
    <mergeCell ref="D58:H58"/>
  </mergeCells>
  <phoneticPr fontId="2" type="noConversion"/>
  <pageMargins left="0.7" right="0.7" top="0.75" bottom="0.75" header="0.3" footer="0.3"/>
  <pageSetup paperSize="9" orientation="portrait" horizontalDpi="1200" verticalDpi="1200" r:id="rId1"/>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1EDE6A-3F8F-4DBE-BDA5-060FFB0F22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vt:i4>
      </vt:variant>
    </vt:vector>
  </HeadingPairs>
  <TitlesOfParts>
    <vt:vector size="2" baseType="lpstr">
      <vt:lpstr>Overview </vt:lpstr>
      <vt:lpstr>Performance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Tewodros</dc:creator>
  <cp:lastModifiedBy>Joel Tewodros</cp:lastModifiedBy>
  <dcterms:created xsi:type="dcterms:W3CDTF">2026-02-05T14:43:30Z</dcterms:created>
  <dcterms:modified xsi:type="dcterms:W3CDTF">2026-02-05T19:07:51Z</dcterms:modified>
</cp:coreProperties>
</file>